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Unit Economics" sheetId="3" state="visible" r:id="rId3"/>
    <sheet name="Stage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#,##0.0"/>
    <numFmt numFmtId="166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0E7A6E"/>
      <sz val="16"/>
    </font>
    <font>
      <name val="Arial"/>
      <i val="1"/>
      <color rgb="005A6172"/>
      <sz val="10"/>
    </font>
    <font>
      <name val="Arial"/>
      <b val="1"/>
      <color rgb="00000000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B4791C"/>
      <sz val="11"/>
    </font>
    <font>
      <name val="Arial"/>
      <i val="1"/>
      <color rgb="00000000"/>
      <sz val="10"/>
    </font>
    <font>
      <name val="Arial"/>
      <i val="1"/>
      <color rgb="008A909E"/>
      <sz val="9"/>
    </font>
    <font>
      <name val="Arial"/>
      <b val="1"/>
      <color rgb="00FFFFFF"/>
      <sz val="13"/>
    </font>
    <font>
      <name val="Arial"/>
      <b val="1"/>
      <color rgb="000E7A6E"/>
      <sz val="10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i val="1"/>
      <color rgb="005A6172"/>
      <sz val="9"/>
    </font>
    <font>
      <name val="Arial"/>
      <b val="1"/>
      <color rgb="00FFFFFF"/>
      <sz val="11"/>
    </font>
    <font>
      <name val="Arial"/>
      <color rgb="000E7A6E"/>
      <sz val="10"/>
    </font>
    <font>
      <name val="Arial"/>
      <b val="1"/>
      <color rgb="00B4791C"/>
      <sz val="9"/>
    </font>
    <font>
      <name val="Arial"/>
      <i val="1"/>
      <color rgb="00B4791C"/>
      <sz val="8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0E7A6E"/>
      </patternFill>
    </fill>
    <fill>
      <patternFill patternType="solid">
        <fgColor rgb="00E4F1EF"/>
      </patternFill>
    </fill>
    <fill>
      <patternFill patternType="solid">
        <fgColor rgb="00FFF7CC"/>
      </patternFill>
    </fill>
    <fill>
      <patternFill patternType="solid">
        <fgColor rgb="00F5F4F0"/>
      </patternFill>
    </fill>
  </fills>
  <borders count="3">
    <border>
      <left/>
      <right/>
      <top/>
      <bottom/>
      <diagonal/>
    </border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top style="medium">
        <color rgb="009AA1B0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3" borderId="0" applyAlignment="1" pivotButton="0" quotePrefix="0" xfId="0">
      <alignment vertical="center"/>
    </xf>
    <xf numFmtId="0" fontId="0" fillId="3" borderId="0" pivotButton="0" quotePrefix="0" xfId="0"/>
    <xf numFmtId="0" fontId="11" fillId="0" borderId="0" pivotButton="0" quotePrefix="0" xfId="0"/>
    <xf numFmtId="164" fontId="12" fillId="2" borderId="1" applyAlignment="1" pivotButton="0" quotePrefix="0" xfId="0">
      <alignment horizontal="right"/>
    </xf>
    <xf numFmtId="0" fontId="9" fillId="0" borderId="0" pivotButton="0" quotePrefix="0" xfId="0"/>
    <xf numFmtId="165" fontId="12" fillId="2" borderId="1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0" fontId="13" fillId="0" borderId="0" pivotButton="0" quotePrefix="0" xfId="0"/>
    <xf numFmtId="164" fontId="13" fillId="0" borderId="0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0" fontId="13" fillId="4" borderId="2" pivotButton="0" quotePrefix="0" xfId="0"/>
    <xf numFmtId="164" fontId="13" fillId="4" borderId="2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0" fontId="14" fillId="0" borderId="0" pivotButton="0" quotePrefix="0" xfId="0"/>
    <xf numFmtId="0" fontId="0" fillId="4" borderId="0" pivotButton="0" quotePrefix="0" xfId="0"/>
    <xf numFmtId="0" fontId="15" fillId="3" borderId="0" applyAlignment="1" pivotButton="0" quotePrefix="0" xfId="0">
      <alignment horizontal="center"/>
    </xf>
    <xf numFmtId="0" fontId="11" fillId="4" borderId="0" pivotButton="0" quotePrefix="0" xfId="0"/>
    <xf numFmtId="0" fontId="14" fillId="4" borderId="0" applyAlignment="1" pivotButton="0" quotePrefix="0" xfId="0">
      <alignment horizontal="center"/>
    </xf>
    <xf numFmtId="165" fontId="5" fillId="5" borderId="1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0" fontId="16" fillId="0" borderId="0" pivotButton="0" quotePrefix="0" xfId="0"/>
    <xf numFmtId="164" fontId="4" fillId="0" borderId="0" applyAlignment="1" pivotButton="0" quotePrefix="0" xfId="0">
      <alignment horizontal="right"/>
    </xf>
    <xf numFmtId="0" fontId="13" fillId="4" borderId="0" pivotButton="0" quotePrefix="0" xfId="0"/>
    <xf numFmtId="0" fontId="13" fillId="6" borderId="0" pivotButton="0" quotePrefix="0" xfId="0"/>
    <xf numFmtId="164" fontId="13" fillId="6" borderId="2" applyAlignment="1" pivotButton="0" quotePrefix="0" xfId="0">
      <alignment horizontal="right"/>
    </xf>
    <xf numFmtId="0" fontId="17" fillId="0" borderId="0" pivotButton="0" quotePrefix="0" xfId="0"/>
    <xf numFmtId="0" fontId="1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The PR Hub — Build-Out Financial Model</t>
        </is>
      </c>
    </row>
    <row r="3">
      <c r="B3" s="2" t="inlineStr">
        <is>
          <t>Companion to the Build-Out Blueprint. Move the levers, watch the firm build itself out of its own cash flow.</t>
        </is>
      </c>
    </row>
    <row r="5">
      <c r="B5" s="3" t="inlineStr">
        <is>
          <t>HOW TO USE THIS MODEL</t>
        </is>
      </c>
    </row>
    <row r="6">
      <c r="B6" s="4" t="inlineStr">
        <is>
          <t>1.  Go to the 'Assumptions' tab. Every cell shaded yellow is yours to edit — pricing, salaries, overheads.</t>
        </is>
      </c>
    </row>
    <row r="7">
      <c r="B7" s="4" t="inlineStr">
        <is>
          <t>2.  'Unit Economics' shows what a single senior account lead earns the firm at capacity. This is why each hire pays for itself.</t>
        </is>
      </c>
    </row>
    <row r="8">
      <c r="B8" s="4" t="inlineStr">
        <is>
          <t>3.  'Stage Plan' is the phased build-out — Stage 0 (you, now) through Stage 4 (built to sell). Edit the blue driver cells to model your own path.</t>
        </is>
      </c>
    </row>
    <row r="9">
      <c r="B9" s="4" t="inlineStr">
        <is>
          <t>4.  After editing, everything recalculates automatically. No formula should ever be overwritten.</t>
        </is>
      </c>
    </row>
    <row r="11">
      <c r="B11" s="3" t="inlineStr">
        <is>
          <t>THE COLOUR CODE</t>
        </is>
      </c>
    </row>
    <row r="12">
      <c r="B12" s="5" t="inlineStr">
        <is>
          <t xml:space="preserve">   Blue text = an input / lever you can change.</t>
        </is>
      </c>
    </row>
    <row r="13">
      <c r="B13" s="6" t="inlineStr">
        <is>
          <t xml:space="preserve">   Yellow fill = a key assumption — the numbers that most move the outcome. Start here.</t>
        </is>
      </c>
    </row>
    <row r="14">
      <c r="B14" s="7" t="inlineStr">
        <is>
          <t xml:space="preserve">   Black text = a formula. Leave it alone; it does the work.</t>
        </is>
      </c>
    </row>
    <row r="15">
      <c r="B15" s="8" t="inlineStr">
        <is>
          <t xml:space="preserve">   Green text = a value pulled from another tab.</t>
        </is>
      </c>
    </row>
    <row r="17">
      <c r="B17" s="9" t="inlineStr">
        <is>
          <t>THE ONE RULE THAT GOVERNS EVERYTHING</t>
        </is>
      </c>
    </row>
    <row r="18">
      <c r="B18" s="10" t="inlineStr">
        <is>
          <t>A new salary is only approved when its revenue trigger is hit. You hire just behind proven demand — never on hope. That is how the firm funds its own growth without outside capital.</t>
        </is>
      </c>
    </row>
    <row r="20">
      <c r="B20" s="11" t="inlineStr">
        <is>
          <t>Illustrative AUD, calibrated to A$10–12k average retainer pricing. Replace with your real numbers as you sign clients.</t>
        </is>
      </c>
    </row>
    <row r="21">
      <c r="B21" s="11" t="inlineStr">
        <is>
          <t>Prepared as strategic counsel for the Founder &amp; CEO. v1.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50" customWidth="1" min="4" max="4"/>
  </cols>
  <sheetData>
    <row r="1" ht="22" customHeight="1">
      <c r="A1" s="12" t="inlineStr">
        <is>
          <t xml:space="preserve">  ASSUMPTIONS  —  edit the yellow cells</t>
        </is>
      </c>
      <c r="B1" s="13" t="n"/>
      <c r="C1" s="13" t="n"/>
      <c r="D1" s="13" t="n"/>
    </row>
    <row r="3">
      <c r="B3" s="14" t="inlineStr">
        <is>
          <t>REVENUE LEVERS</t>
        </is>
      </c>
    </row>
    <row r="4">
      <c r="B4" s="7" t="inlineStr">
        <is>
          <t>Average monthly retainer (A$/mo)</t>
        </is>
      </c>
      <c r="C4" s="15" t="n">
        <v>11000</v>
      </c>
      <c r="D4" s="16" t="inlineStr">
        <is>
          <t>Your target: A$10–12k</t>
        </is>
      </c>
    </row>
    <row r="5">
      <c r="B5" s="7" t="inlineStr">
        <is>
          <t>Retainers per lead at capacity</t>
        </is>
      </c>
      <c r="C5" s="17" t="n">
        <v>5</v>
      </c>
      <c r="D5" s="16" t="inlineStr">
        <is>
          <t>Elite senior-led norm is 4–5</t>
        </is>
      </c>
    </row>
    <row r="6">
      <c r="B6" s="7" t="inlineStr">
        <is>
          <t>Workshop / speaking fee (A$ each)</t>
        </is>
      </c>
      <c r="C6" s="15" t="n">
        <v>8000</v>
      </c>
      <c r="D6" s="16" t="inlineStr">
        <is>
          <t>EO / YPO paid sessions</t>
        </is>
      </c>
    </row>
    <row r="7">
      <c r="B7" s="7" t="inlineStr">
        <is>
          <t>Earned-media project — avg (A$ each)</t>
        </is>
      </c>
      <c r="C7" s="15" t="n">
        <v>15000</v>
      </c>
      <c r="D7" s="16" t="inlineStr">
        <is>
          <t>Tiered publication packages</t>
        </is>
      </c>
    </row>
    <row r="9">
      <c r="B9" s="14" t="inlineStr">
        <is>
          <t>PEOPLE COSTS (fully loaded, A$/yr)</t>
        </is>
      </c>
    </row>
    <row r="10">
      <c r="B10" s="7" t="inlineStr">
        <is>
          <t>Senior account lead</t>
        </is>
      </c>
      <c r="C10" s="15" t="n">
        <v>190000</v>
      </c>
      <c r="D10" s="16" t="inlineStr">
        <is>
          <t>12+ yrs; incl. on-costs &amp; bonus</t>
        </is>
      </c>
    </row>
    <row r="11">
      <c r="B11" s="7" t="inlineStr">
        <is>
          <t>Strategy Associate / AI Producer</t>
        </is>
      </c>
      <c r="C11" s="15" t="n">
        <v>85000</v>
      </c>
      <c r="D11" s="16" t="inlineStr">
        <is>
          <t>AI-native; runs the bench</t>
        </is>
      </c>
    </row>
    <row r="12">
      <c r="B12" s="7" t="inlineStr">
        <is>
          <t>Administrative assistant</t>
        </is>
      </c>
      <c r="C12" s="15" t="n">
        <v>70000</v>
      </c>
    </row>
    <row r="13">
      <c r="B13" s="7" t="inlineStr">
        <is>
          <t>Integrator (COO/GM) — full-time</t>
        </is>
      </c>
      <c r="C13" s="15" t="n">
        <v>220000</v>
      </c>
      <c r="D13" s="16" t="inlineStr">
        <is>
          <t>Fractional = a fraction of this</t>
        </is>
      </c>
    </row>
    <row r="14">
      <c r="B14" s="7" t="inlineStr">
        <is>
          <t>Founder package / draw</t>
        </is>
      </c>
      <c r="C14" s="15" t="n">
        <v>200000</v>
      </c>
      <c r="D14" s="16" t="inlineStr">
        <is>
          <t>Market pay so EBITDA is honest</t>
        </is>
      </c>
    </row>
    <row r="16">
      <c r="B16" s="14" t="inlineStr">
        <is>
          <t>OTHER COSTS</t>
        </is>
      </c>
    </row>
    <row r="17">
      <c r="B17" s="7" t="inlineStr">
        <is>
          <t>AI bench &amp; tools per client (A$/yr)</t>
        </is>
      </c>
      <c r="C17" s="15" t="n">
        <v>3000</v>
      </c>
      <c r="D17" s="16" t="inlineStr">
        <is>
          <t>Scales with client count</t>
        </is>
      </c>
    </row>
    <row r="18">
      <c r="B18" s="7" t="inlineStr">
        <is>
          <t>Fixed overheads (A$/yr)</t>
        </is>
      </c>
      <c r="C18" s="15" t="n">
        <v>60000</v>
      </c>
      <c r="D18" s="16" t="inlineStr">
        <is>
          <t>Software, insurance, brand, travel</t>
        </is>
      </c>
    </row>
    <row r="19">
      <c r="B19" s="7" t="inlineStr">
        <is>
          <t>Leads per Strategy Associate</t>
        </is>
      </c>
      <c r="C19" s="17" t="n">
        <v>3</v>
      </c>
      <c r="D19" s="16" t="inlineStr">
        <is>
          <t>1 associate supports ~3 leads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8" customWidth="1" min="3" max="3"/>
    <col width="46" customWidth="1" min="4" max="4"/>
  </cols>
  <sheetData>
    <row r="1" ht="22" customHeight="1">
      <c r="A1" s="12" t="inlineStr">
        <is>
          <t xml:space="preserve">  UNIT ECONOMICS  —  one senior lead at capacity</t>
        </is>
      </c>
      <c r="B1" s="13" t="n"/>
      <c r="C1" s="13" t="n"/>
      <c r="D1" s="13" t="n"/>
    </row>
    <row r="2">
      <c r="B2" s="16" t="inlineStr">
        <is>
          <t>Why every hire pays for itself. All figures pull from Assumptions.</t>
        </is>
      </c>
    </row>
    <row r="3">
      <c r="B3" s="7" t="inlineStr">
        <is>
          <t>Retainers carried per lead</t>
        </is>
      </c>
      <c r="C3" s="18">
        <f>Assumptions!C5</f>
        <v/>
      </c>
    </row>
    <row r="4">
      <c r="B4" s="19" t="inlineStr">
        <is>
          <t>Annual revenue per lead</t>
        </is>
      </c>
      <c r="C4" s="20">
        <f>C3*Assumptions!C4*12</f>
        <v/>
      </c>
      <c r="D4" s="16" t="inlineStr">
        <is>
          <t>retainers × price × 12 months</t>
        </is>
      </c>
    </row>
    <row r="6">
      <c r="B6" s="7" t="inlineStr">
        <is>
          <t>Less: senior lead salary</t>
        </is>
      </c>
      <c r="C6" s="21">
        <f>-Assumptions!C10</f>
        <v/>
      </c>
    </row>
    <row r="7">
      <c r="B7" s="7" t="inlineStr">
        <is>
          <t>Less: Strategy Associate (shared)</t>
        </is>
      </c>
      <c r="C7" s="21">
        <f>-Assumptions!C11/Assumptions!C19</f>
        <v/>
      </c>
      <c r="D7" s="16" t="inlineStr">
        <is>
          <t>one associate supports ~3 leads</t>
        </is>
      </c>
    </row>
    <row r="8">
      <c r="B8" s="7" t="inlineStr">
        <is>
          <t>Less: AI bench &amp; tools</t>
        </is>
      </c>
      <c r="C8" s="21">
        <f>-C3*Assumptions!C17</f>
        <v/>
      </c>
      <c r="D8" s="16" t="inlineStr">
        <is>
          <t>per client served</t>
        </is>
      </c>
    </row>
    <row r="9">
      <c r="B9" s="22" t="inlineStr">
        <is>
          <t>Contribution margin per lead</t>
        </is>
      </c>
      <c r="C9" s="23">
        <f>C4+C6+C7+C8</f>
        <v/>
      </c>
    </row>
    <row r="10">
      <c r="B10" s="19" t="inlineStr">
        <is>
          <t>Contribution margin %</t>
        </is>
      </c>
      <c r="C10" s="24">
        <f>C9/C4</f>
        <v/>
      </c>
    </row>
    <row r="12">
      <c r="B12" s="25" t="inlineStr">
        <is>
          <t>Read: each senior lead throws off roughly this much before firm overhead.</t>
        </is>
      </c>
    </row>
    <row r="13">
      <c r="B13" s="25" t="inlineStr">
        <is>
          <t>That surplus is what funds the Integrator, the admin team, and your own package.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2" customHeight="1">
      <c r="A1" s="12" t="inlineStr">
        <is>
          <t xml:space="preserve">  STAGE PLAN  —  the phased build-out (annualised run-rate per stage)</t>
        </is>
      </c>
      <c r="B1" s="13" t="n"/>
      <c r="C1" s="13" t="n"/>
      <c r="D1" s="13" t="n"/>
      <c r="E1" s="13" t="n"/>
      <c r="F1" s="13" t="n"/>
      <c r="G1" s="13" t="n"/>
    </row>
    <row r="3">
      <c r="B3" s="26" t="inlineStr"/>
      <c r="C3" s="27" t="inlineStr">
        <is>
          <t>Stage 0</t>
        </is>
      </c>
      <c r="D3" s="27" t="inlineStr">
        <is>
          <t>Stage 1</t>
        </is>
      </c>
      <c r="E3" s="27" t="inlineStr">
        <is>
          <t>Stage 2</t>
        </is>
      </c>
      <c r="F3" s="27" t="inlineStr">
        <is>
          <t>Stage 3</t>
        </is>
      </c>
      <c r="G3" s="27" t="inlineStr">
        <is>
          <t>Stage 4</t>
        </is>
      </c>
    </row>
    <row r="4">
      <c r="B4" s="28" t="inlineStr">
        <is>
          <t>DRIVERS  (edit the blue cells)</t>
        </is>
      </c>
      <c r="C4" s="29" t="inlineStr">
        <is>
          <t>Prove funnel</t>
        </is>
      </c>
      <c r="D4" s="29" t="inlineStr">
        <is>
          <t>Buy back time</t>
        </is>
      </c>
      <c r="E4" s="29" t="inlineStr">
        <is>
          <t>First lead</t>
        </is>
      </c>
      <c r="F4" s="29" t="inlineStr">
        <is>
          <t>The engine</t>
        </is>
      </c>
      <c r="G4" s="29" t="inlineStr">
        <is>
          <t>Built to sell</t>
        </is>
      </c>
    </row>
    <row r="5">
      <c r="B5" s="7" t="inlineStr">
        <is>
          <t>Retainer clients (end of stage)</t>
        </is>
      </c>
      <c r="C5" s="30" t="n">
        <v>3</v>
      </c>
      <c r="D5" s="30" t="n">
        <v>5</v>
      </c>
      <c r="E5" s="30" t="n">
        <v>9</v>
      </c>
      <c r="F5" s="30" t="n">
        <v>18</v>
      </c>
      <c r="G5" s="30" t="n">
        <v>30</v>
      </c>
    </row>
    <row r="6">
      <c r="B6" s="7" t="inlineStr">
        <is>
          <t>Senior account leads</t>
        </is>
      </c>
      <c r="C6" s="30" t="n">
        <v>0</v>
      </c>
      <c r="D6" s="30" t="n">
        <v>0</v>
      </c>
      <c r="E6" s="30" t="n">
        <v>1</v>
      </c>
      <c r="F6" s="30" t="n">
        <v>3</v>
      </c>
      <c r="G6" s="30" t="n">
        <v>6</v>
      </c>
    </row>
    <row r="7">
      <c r="B7" s="7" t="inlineStr">
        <is>
          <t>Strategy Associates</t>
        </is>
      </c>
      <c r="C7" s="30" t="n">
        <v>0</v>
      </c>
      <c r="D7" s="30" t="n">
        <v>0</v>
      </c>
      <c r="E7" s="30" t="n">
        <v>1</v>
      </c>
      <c r="F7" s="30" t="n">
        <v>1</v>
      </c>
      <c r="G7" s="30" t="n">
        <v>2</v>
      </c>
    </row>
    <row r="8">
      <c r="B8" s="7" t="inlineStr">
        <is>
          <t>Accounts founder still delivers</t>
        </is>
      </c>
      <c r="C8" s="30" t="n">
        <v>3</v>
      </c>
      <c r="D8" s="30" t="n">
        <v>5</v>
      </c>
      <c r="E8" s="30" t="n">
        <v>4</v>
      </c>
      <c r="F8" s="30" t="n">
        <v>3</v>
      </c>
      <c r="G8" s="30" t="n">
        <v>0</v>
      </c>
    </row>
    <row r="9">
      <c r="B9" s="7" t="inlineStr">
        <is>
          <t>Integrator (FTE: 0 / 0.4 / 1)</t>
        </is>
      </c>
      <c r="C9" s="30" t="n">
        <v>0</v>
      </c>
      <c r="D9" s="30" t="n">
        <v>0.4</v>
      </c>
      <c r="E9" s="30" t="n">
        <v>0.4</v>
      </c>
      <c r="F9" s="30" t="n">
        <v>1</v>
      </c>
      <c r="G9" s="30" t="n">
        <v>1</v>
      </c>
    </row>
    <row r="10">
      <c r="B10" s="7" t="inlineStr">
        <is>
          <t>Admin (FTE)</t>
        </is>
      </c>
      <c r="C10" s="30" t="n">
        <v>0.5</v>
      </c>
      <c r="D10" s="30" t="n">
        <v>1</v>
      </c>
      <c r="E10" s="30" t="n">
        <v>1</v>
      </c>
      <c r="F10" s="30" t="n">
        <v>1</v>
      </c>
      <c r="G10" s="30" t="n">
        <v>1.5</v>
      </c>
    </row>
    <row r="11">
      <c r="B11" s="7" t="inlineStr">
        <is>
          <t>Workshops / speaking per year</t>
        </is>
      </c>
      <c r="C11" s="30" t="n">
        <v>10</v>
      </c>
      <c r="D11" s="30" t="n">
        <v>16</v>
      </c>
      <c r="E11" s="30" t="n">
        <v>18</v>
      </c>
      <c r="F11" s="30" t="n">
        <v>16</v>
      </c>
      <c r="G11" s="30" t="n">
        <v>12</v>
      </c>
    </row>
    <row r="12">
      <c r="B12" s="7" t="inlineStr">
        <is>
          <t>Earned-media projects per year</t>
        </is>
      </c>
      <c r="C12" s="30" t="n">
        <v>4</v>
      </c>
      <c r="D12" s="30" t="n">
        <v>6</v>
      </c>
      <c r="E12" s="30" t="n">
        <v>8</v>
      </c>
      <c r="F12" s="30" t="n">
        <v>10</v>
      </c>
      <c r="G12" s="30" t="n">
        <v>12</v>
      </c>
    </row>
    <row r="13">
      <c r="B13" s="16" t="inlineStr">
        <is>
          <t>Delivery capacity check (leads×cap + founder)</t>
        </is>
      </c>
      <c r="C13" s="31">
        <f>C6*Assumptions!$C$5+C8</f>
        <v/>
      </c>
      <c r="D13" s="31">
        <f>D6*Assumptions!$C$5+D8</f>
        <v/>
      </c>
      <c r="E13" s="31">
        <f>E6*Assumptions!$C$5+E8</f>
        <v/>
      </c>
      <c r="F13" s="31">
        <f>F6*Assumptions!$C$5+F8</f>
        <v/>
      </c>
      <c r="G13" s="31">
        <f>G6*Assumptions!$C$5+G8</f>
        <v/>
      </c>
    </row>
    <row r="15">
      <c r="B15" s="32" t="inlineStr">
        <is>
          <t>REVENUE (A$/yr)</t>
        </is>
      </c>
    </row>
    <row r="16">
      <c r="B16" s="7" t="inlineStr">
        <is>
          <t>Recurring — retainers</t>
        </is>
      </c>
      <c r="C16" s="33">
        <f>C5*Assumptions!$C$4*12</f>
        <v/>
      </c>
      <c r="D16" s="33">
        <f>D5*Assumptions!$C$4*12</f>
        <v/>
      </c>
      <c r="E16" s="33">
        <f>E5*Assumptions!$C$4*12</f>
        <v/>
      </c>
      <c r="F16" s="33">
        <f>F5*Assumptions!$C$4*12</f>
        <v/>
      </c>
      <c r="G16" s="33">
        <f>G5*Assumptions!$C$4*12</f>
        <v/>
      </c>
    </row>
    <row r="17">
      <c r="B17" s="7" t="inlineStr">
        <is>
          <t>Workshops &amp; speaking</t>
        </is>
      </c>
      <c r="C17" s="33">
        <f>C11*Assumptions!$C$6</f>
        <v/>
      </c>
      <c r="D17" s="33">
        <f>D11*Assumptions!$C$6</f>
        <v/>
      </c>
      <c r="E17" s="33">
        <f>E11*Assumptions!$C$6</f>
        <v/>
      </c>
      <c r="F17" s="33">
        <f>F11*Assumptions!$C$6</f>
        <v/>
      </c>
      <c r="G17" s="33">
        <f>G11*Assumptions!$C$6</f>
        <v/>
      </c>
    </row>
    <row r="18">
      <c r="B18" s="7" t="inlineStr">
        <is>
          <t>Earned-media projects</t>
        </is>
      </c>
      <c r="C18" s="33">
        <f>C12*Assumptions!$C$7</f>
        <v/>
      </c>
      <c r="D18" s="33">
        <f>D12*Assumptions!$C$7</f>
        <v/>
      </c>
      <c r="E18" s="33">
        <f>E12*Assumptions!$C$7</f>
        <v/>
      </c>
      <c r="F18" s="33">
        <f>F12*Assumptions!$C$7</f>
        <v/>
      </c>
      <c r="G18" s="33">
        <f>G12*Assumptions!$C$7</f>
        <v/>
      </c>
    </row>
    <row r="19">
      <c r="B19" s="34" t="inlineStr">
        <is>
          <t>Total revenue</t>
        </is>
      </c>
      <c r="C19" s="23">
        <f>SUM(C16:C18)</f>
        <v/>
      </c>
      <c r="D19" s="23">
        <f>SUM(D16:D18)</f>
        <v/>
      </c>
      <c r="E19" s="23">
        <f>SUM(E16:E18)</f>
        <v/>
      </c>
      <c r="F19" s="23">
        <f>SUM(F16:F18)</f>
        <v/>
      </c>
      <c r="G19" s="23">
        <f>SUM(G16:G18)</f>
        <v/>
      </c>
    </row>
    <row r="21">
      <c r="B21" s="32" t="inlineStr">
        <is>
          <t>COSTS (A$/yr)</t>
        </is>
      </c>
    </row>
    <row r="22">
      <c r="B22" s="7" t="inlineStr">
        <is>
          <t>Founder package</t>
        </is>
      </c>
      <c r="C22" s="33">
        <f>Assumptions!$C$14</f>
        <v/>
      </c>
      <c r="D22" s="33">
        <f>Assumptions!$C$14</f>
        <v/>
      </c>
      <c r="E22" s="33">
        <f>Assumptions!$C$14</f>
        <v/>
      </c>
      <c r="F22" s="33">
        <f>Assumptions!$C$14</f>
        <v/>
      </c>
      <c r="G22" s="33">
        <f>Assumptions!$C$14</f>
        <v/>
      </c>
    </row>
    <row r="23">
      <c r="B23" s="7" t="inlineStr">
        <is>
          <t>Senior account leads</t>
        </is>
      </c>
      <c r="C23" s="33">
        <f>C6*Assumptions!$C$10</f>
        <v/>
      </c>
      <c r="D23" s="33">
        <f>D6*Assumptions!$C$10</f>
        <v/>
      </c>
      <c r="E23" s="33">
        <f>E6*Assumptions!$C$10</f>
        <v/>
      </c>
      <c r="F23" s="33">
        <f>F6*Assumptions!$C$10</f>
        <v/>
      </c>
      <c r="G23" s="33">
        <f>G6*Assumptions!$C$10</f>
        <v/>
      </c>
    </row>
    <row r="24">
      <c r="B24" s="7" t="inlineStr">
        <is>
          <t>Strategy Associates</t>
        </is>
      </c>
      <c r="C24" s="33">
        <f>C7*Assumptions!$C$11</f>
        <v/>
      </c>
      <c r="D24" s="33">
        <f>D7*Assumptions!$C$11</f>
        <v/>
      </c>
      <c r="E24" s="33">
        <f>E7*Assumptions!$C$11</f>
        <v/>
      </c>
      <c r="F24" s="33">
        <f>F7*Assumptions!$C$11</f>
        <v/>
      </c>
      <c r="G24" s="33">
        <f>G7*Assumptions!$C$11</f>
        <v/>
      </c>
    </row>
    <row r="25">
      <c r="B25" s="7" t="inlineStr">
        <is>
          <t>Integrator</t>
        </is>
      </c>
      <c r="C25" s="33">
        <f>C9*Assumptions!$C$13</f>
        <v/>
      </c>
      <c r="D25" s="33">
        <f>D9*Assumptions!$C$13</f>
        <v/>
      </c>
      <c r="E25" s="33">
        <f>E9*Assumptions!$C$13</f>
        <v/>
      </c>
      <c r="F25" s="33">
        <f>F9*Assumptions!$C$13</f>
        <v/>
      </c>
      <c r="G25" s="33">
        <f>G9*Assumptions!$C$13</f>
        <v/>
      </c>
    </row>
    <row r="26">
      <c r="B26" s="7" t="inlineStr">
        <is>
          <t>Admin</t>
        </is>
      </c>
      <c r="C26" s="33">
        <f>C10*Assumptions!$C$12</f>
        <v/>
      </c>
      <c r="D26" s="33">
        <f>D10*Assumptions!$C$12</f>
        <v/>
      </c>
      <c r="E26" s="33">
        <f>E10*Assumptions!$C$12</f>
        <v/>
      </c>
      <c r="F26" s="33">
        <f>F10*Assumptions!$C$12</f>
        <v/>
      </c>
      <c r="G26" s="33">
        <f>G10*Assumptions!$C$12</f>
        <v/>
      </c>
    </row>
    <row r="27">
      <c r="B27" s="7" t="inlineStr">
        <is>
          <t>AI bench &amp; tools</t>
        </is>
      </c>
      <c r="C27" s="33">
        <f>C5*Assumptions!$C$17</f>
        <v/>
      </c>
      <c r="D27" s="33">
        <f>D5*Assumptions!$C$17</f>
        <v/>
      </c>
      <c r="E27" s="33">
        <f>E5*Assumptions!$C$17</f>
        <v/>
      </c>
      <c r="F27" s="33">
        <f>F5*Assumptions!$C$17</f>
        <v/>
      </c>
      <c r="G27" s="33">
        <f>G5*Assumptions!$C$17</f>
        <v/>
      </c>
    </row>
    <row r="28">
      <c r="B28" s="7" t="inlineStr">
        <is>
          <t>Fixed overheads</t>
        </is>
      </c>
      <c r="C28" s="33">
        <f>Assumptions!$C$18</f>
        <v/>
      </c>
      <c r="D28" s="33">
        <f>Assumptions!$C$18</f>
        <v/>
      </c>
      <c r="E28" s="33">
        <f>Assumptions!$C$18</f>
        <v/>
      </c>
      <c r="F28" s="33">
        <f>Assumptions!$C$18</f>
        <v/>
      </c>
      <c r="G28" s="33">
        <f>Assumptions!$C$18</f>
        <v/>
      </c>
    </row>
    <row r="29">
      <c r="B29" s="34" t="inlineStr">
        <is>
          <t>Total costs</t>
        </is>
      </c>
      <c r="C29" s="23">
        <f>SUM(C22:C28)</f>
        <v/>
      </c>
      <c r="D29" s="23">
        <f>SUM(D22:D28)</f>
        <v/>
      </c>
      <c r="E29" s="23">
        <f>SUM(E22:E28)</f>
        <v/>
      </c>
      <c r="F29" s="23">
        <f>SUM(F22:F28)</f>
        <v/>
      </c>
      <c r="G29" s="23">
        <f>SUM(G22:G28)</f>
        <v/>
      </c>
    </row>
    <row r="31">
      <c r="B31" s="35" t="inlineStr">
        <is>
          <t>EBITDA (after founder pay)</t>
        </is>
      </c>
      <c r="C31" s="36">
        <f>C19-C29</f>
        <v/>
      </c>
      <c r="D31" s="36">
        <f>D19-D29</f>
        <v/>
      </c>
      <c r="E31" s="36">
        <f>E19-E29</f>
        <v/>
      </c>
      <c r="F31" s="36">
        <f>F19-F29</f>
        <v/>
      </c>
      <c r="G31" s="36">
        <f>G19-G29</f>
        <v/>
      </c>
    </row>
    <row r="32">
      <c r="B32" s="19" t="inlineStr">
        <is>
          <t>EBITDA margin %</t>
        </is>
      </c>
      <c r="C32" s="24">
        <f>IF(C19=0,0,C31/C19)</f>
        <v/>
      </c>
      <c r="D32" s="24">
        <f>IF(D19=0,0,D31/D19)</f>
        <v/>
      </c>
      <c r="E32" s="24">
        <f>IF(E19=0,0,E31/E19)</f>
        <v/>
      </c>
      <c r="F32" s="24">
        <f>IF(F19=0,0,F31/F19)</f>
        <v/>
      </c>
      <c r="G32" s="24">
        <f>IF(G19=0,0,G31/G19)</f>
        <v/>
      </c>
    </row>
    <row r="33">
      <c r="B33" s="7" t="inlineStr">
        <is>
          <t>Recurring revenue / month (MRR)</t>
        </is>
      </c>
      <c r="C33" s="33">
        <f>C16/12</f>
        <v/>
      </c>
      <c r="D33" s="33">
        <f>D16/12</f>
        <v/>
      </c>
      <c r="E33" s="33">
        <f>E16/12</f>
        <v/>
      </c>
      <c r="F33" s="33">
        <f>F16/12</f>
        <v/>
      </c>
      <c r="G33" s="33">
        <f>G16/12</f>
        <v/>
      </c>
    </row>
    <row r="35" ht="30" customHeight="1">
      <c r="B35" s="37" t="inlineStr">
        <is>
          <t>Advance-stage trigger</t>
        </is>
      </c>
      <c r="C35" s="38" t="inlineStr">
        <is>
          <t>A$25–40k/mo
recurring</t>
        </is>
      </c>
      <c r="D35" s="38" t="inlineStr">
        <is>
          <t>3–4 retainers
signed</t>
        </is>
      </c>
      <c r="E35" s="38" t="inlineStr">
        <is>
          <t>Can't service
next client</t>
        </is>
      </c>
      <c r="F35" s="38" t="inlineStr">
        <is>
          <t>Lead #1 at
4–5 load pts</t>
        </is>
      </c>
      <c r="G35" s="38" t="inlineStr">
        <is>
          <t>Built to
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2026-09-06T07:58:59Z</dcterms:created>
  <dcterms:modified xsi:type="dcterms:W3CDTF">2026-09-06T07:58:59Z</dcterms:modified>
</cp:coreProperties>
</file>